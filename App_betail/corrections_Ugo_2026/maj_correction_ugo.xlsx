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chaval\Desktop\"/>
    </mc:Choice>
  </mc:AlternateContent>
  <xr:revisionPtr revIDLastSave="0" documentId="13_ncr:1_{B67DF597-5960-4AD3-BD10-12C8CF27E323}" xr6:coauthVersionLast="36" xr6:coauthVersionMax="36" xr10:uidLastSave="{00000000-0000-0000-0000-000000000000}"/>
  <bookViews>
    <workbookView xWindow="0" yWindow="0" windowWidth="17256" windowHeight="6636" activeTab="1" xr2:uid="{125C5928-6664-4787-A5B5-EE1B300EA777}"/>
  </bookViews>
  <sheets>
    <sheet name="notes" sheetId="2" r:id="rId1"/>
    <sheet name="identifiant unique par geom-ann" sheetId="5" r:id="rId2"/>
    <sheet name="delete" sheetId="4" r:id="rId3"/>
    <sheet name="bet_charge" sheetId="1" r:id="rId4"/>
    <sheet name="espece" sheetId="3" r:id="rId5"/>
    <sheet name="delete_sur_emprise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7" i="6" l="1"/>
  <c r="A27" i="6"/>
  <c r="A37" i="6"/>
  <c r="A47" i="6"/>
  <c r="A57" i="6"/>
</calcChain>
</file>

<file path=xl/sharedStrings.xml><?xml version="1.0" encoding="utf-8"?>
<sst xmlns="http://schemas.openxmlformats.org/spreadsheetml/2006/main" count="170" uniqueCount="116">
  <si>
    <t>101_200</t>
  </si>
  <si>
    <t>11_15</t>
  </si>
  <si>
    <t>16_20</t>
  </si>
  <si>
    <t>1_5</t>
  </si>
  <si>
    <t>201_300</t>
  </si>
  <si>
    <t>21_24</t>
  </si>
  <si>
    <t>21_25</t>
  </si>
  <si>
    <t>25_30</t>
  </si>
  <si>
    <t>26_50</t>
  </si>
  <si>
    <t>31_35</t>
  </si>
  <si>
    <t>36_40</t>
  </si>
  <si>
    <t>41_45</t>
  </si>
  <si>
    <t>46_50</t>
  </si>
  <si>
    <t>51_75</t>
  </si>
  <si>
    <t>6_10</t>
  </si>
  <si>
    <t>76_100</t>
  </si>
  <si>
    <t>&gt;75</t>
  </si>
  <si>
    <t>ok</t>
  </si>
  <si>
    <t>valeurs_autorisée</t>
  </si>
  <si>
    <t>action update</t>
  </si>
  <si>
    <r>
      <t>SELECT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739ECA"/>
        <rFont val="Consolas"/>
        <family val="3"/>
      </rPr>
      <t>distinct</t>
    </r>
    <r>
      <rPr>
        <sz val="10"/>
        <color rgb="FFCCCCCC"/>
        <rFont val="Consolas"/>
        <family val="3"/>
      </rPr>
      <t>(</t>
    </r>
    <r>
      <rPr>
        <sz val="10"/>
        <color rgb="FF00B8B8"/>
        <rFont val="Consolas"/>
        <family val="3"/>
      </rPr>
      <t>bet_charge</t>
    </r>
    <r>
      <rPr>
        <sz val="10"/>
        <color rgb="FFCCCCCC"/>
        <rFont val="Consolas"/>
        <family val="3"/>
      </rPr>
      <t xml:space="preserve">) </t>
    </r>
    <r>
      <rPr>
        <b/>
        <sz val="10"/>
        <color rgb="FF739ECA"/>
        <rFont val="Consolas"/>
        <family val="3"/>
      </rPr>
      <t>FROM</t>
    </r>
    <r>
      <rPr>
        <sz val="10"/>
        <color rgb="FFCCCCCC"/>
        <rFont val="Consolas"/>
        <family val="3"/>
      </rPr>
      <t xml:space="preserve"> </t>
    </r>
    <r>
      <rPr>
        <sz val="10"/>
        <color rgb="FFCC9B75"/>
        <rFont val="Consolas"/>
        <family val="3"/>
      </rPr>
      <t>correction_betail</t>
    </r>
    <r>
      <rPr>
        <sz val="10"/>
        <color rgb="FFCCCCCC"/>
        <rFont val="Consolas"/>
        <family val="3"/>
      </rPr>
      <t>.</t>
    </r>
    <r>
      <rPr>
        <sz val="10"/>
        <color rgb="FFB788D3"/>
        <rFont val="Consolas"/>
        <family val="3"/>
      </rPr>
      <t>t_correction</t>
    </r>
    <r>
      <rPr>
        <sz val="10"/>
        <color rgb="FFEECC64"/>
        <rFont val="Consolas"/>
        <family val="3"/>
      </rPr>
      <t>;</t>
    </r>
  </si>
  <si>
    <t>valeurs_présentes</t>
  </si>
  <si>
    <t>delete</t>
  </si>
  <si>
    <t>UPDATE correction_betail.t_correction</t>
  </si>
  <si>
    <t>SET bet_charge = '21_25'</t>
  </si>
  <si>
    <t>WHERE bet_charge = '21_24';</t>
  </si>
  <si>
    <t>SET bet_charge = '26_50'</t>
  </si>
  <si>
    <t>WHERE bet_charge IN ('25_30', '28', '31_35', '36_40', '41_45', '46_50');</t>
  </si>
  <si>
    <t>SET bet_charge = '76_100'</t>
  </si>
  <si>
    <t>WHERE bet_charge = '&gt;75';</t>
  </si>
  <si>
    <t>SELECT distinct(bet_espece) --, bet_remarque, bet_semaine, bet_charge, bet_gestion, bet_geom, bet_protocole, bet_metadata, bet_metadata_geom, bet_utilisation, bet_remarque_suivi, bet_visualise, bet_correction</t>
  </si>
  <si>
    <t>FROM correction_betail.t_correction</t>
  </si>
  <si>
    <t>bet_espece</t>
  </si>
  <si>
    <t>aviaire</t>
  </si>
  <si>
    <t>bovin</t>
  </si>
  <si>
    <t>bovin-caprin</t>
  </si>
  <si>
    <t>bovin-equin</t>
  </si>
  <si>
    <t>bovin-equin-ovin</t>
  </si>
  <si>
    <t>bovin-equin-porcin</t>
  </si>
  <si>
    <t>bovin-ovin</t>
  </si>
  <si>
    <t>bovin-ovin-caprin</t>
  </si>
  <si>
    <t>bovin-porcin</t>
  </si>
  <si>
    <t>caprin</t>
  </si>
  <si>
    <t>caprin-equin</t>
  </si>
  <si>
    <t>caprin-equin-ovin</t>
  </si>
  <si>
    <t>caprin-equin-ovin-porcin</t>
  </si>
  <si>
    <t>equin</t>
  </si>
  <si>
    <t>equin-caprin-porcin</t>
  </si>
  <si>
    <t>equin-ovin</t>
  </si>
  <si>
    <t>equin-ovin-porcin</t>
  </si>
  <si>
    <t>equin-porcin</t>
  </si>
  <si>
    <t>ovin</t>
  </si>
  <si>
    <t>ovin-caprin</t>
  </si>
  <si>
    <t>porcin</t>
  </si>
  <si>
    <r>
      <t xml:space="preserve">FROM correction_betail.t_correction </t>
    </r>
    <r>
      <rPr>
        <b/>
        <sz val="10"/>
        <rFont val="Consolas"/>
        <family val="3"/>
      </rPr>
      <t>where</t>
    </r>
    <r>
      <rPr>
        <sz val="10"/>
        <rFont val="Consolas"/>
        <family val="3"/>
      </rPr>
      <t xml:space="preserve"> bet_annee = 2010 </t>
    </r>
    <r>
      <rPr>
        <b/>
        <sz val="10"/>
        <rFont val="Consolas"/>
        <family val="3"/>
      </rPr>
      <t>and</t>
    </r>
  </si>
  <si>
    <r>
      <t xml:space="preserve">(bet_semaine = 44 </t>
    </r>
    <r>
      <rPr>
        <b/>
        <sz val="10"/>
        <rFont val="Consolas"/>
        <family val="3"/>
      </rPr>
      <t>or</t>
    </r>
    <r>
      <rPr>
        <sz val="10"/>
        <rFont val="Consolas"/>
        <family val="3"/>
      </rPr>
      <t xml:space="preserve"> bet_semaine &lt; 14 </t>
    </r>
    <r>
      <rPr>
        <b/>
        <sz val="10"/>
        <rFont val="Consolas"/>
        <family val="3"/>
      </rPr>
      <t>or</t>
    </r>
    <r>
      <rPr>
        <sz val="10"/>
        <rFont val="Consolas"/>
        <family val="3"/>
      </rPr>
      <t xml:space="preserve"> bet_semaine &gt; 48);</t>
    </r>
  </si>
  <si>
    <r>
      <t xml:space="preserve">FROM correction_betail.t_correction </t>
    </r>
    <r>
      <rPr>
        <b/>
        <sz val="10"/>
        <rFont val="Consolas"/>
        <family val="3"/>
      </rPr>
      <t>where</t>
    </r>
    <r>
      <rPr>
        <sz val="10"/>
        <rFont val="Consolas"/>
        <family val="3"/>
      </rPr>
      <t xml:space="preserve"> bet_annee = 2011 </t>
    </r>
    <r>
      <rPr>
        <b/>
        <sz val="10"/>
        <rFont val="Consolas"/>
        <family val="3"/>
      </rPr>
      <t>and</t>
    </r>
  </si>
  <si>
    <r>
      <t xml:space="preserve">FROM correction_betail.t_correction </t>
    </r>
    <r>
      <rPr>
        <b/>
        <sz val="10"/>
        <rFont val="Consolas"/>
        <family val="3"/>
      </rPr>
      <t>where</t>
    </r>
    <r>
      <rPr>
        <sz val="10"/>
        <rFont val="Consolas"/>
        <family val="3"/>
      </rPr>
      <t xml:space="preserve"> bet_annee = 2012 </t>
    </r>
    <r>
      <rPr>
        <b/>
        <sz val="10"/>
        <rFont val="Consolas"/>
        <family val="3"/>
      </rPr>
      <t>and</t>
    </r>
  </si>
  <si>
    <r>
      <t xml:space="preserve">(bet_semaine = 29 </t>
    </r>
    <r>
      <rPr>
        <b/>
        <sz val="10"/>
        <rFont val="Consolas"/>
        <family val="3"/>
      </rPr>
      <t>or</t>
    </r>
    <r>
      <rPr>
        <sz val="10"/>
        <rFont val="Consolas"/>
        <family val="3"/>
      </rPr>
      <t xml:space="preserve"> bet_semaine = 45 </t>
    </r>
    <r>
      <rPr>
        <b/>
        <sz val="10"/>
        <rFont val="Consolas"/>
        <family val="3"/>
      </rPr>
      <t>or</t>
    </r>
    <r>
      <rPr>
        <sz val="10"/>
        <rFont val="Consolas"/>
        <family val="3"/>
      </rPr>
      <t xml:space="preserve"> bet_semaine = 47 </t>
    </r>
    <r>
      <rPr>
        <b/>
        <sz val="10"/>
        <rFont val="Consolas"/>
        <family val="3"/>
      </rPr>
      <t>or</t>
    </r>
    <r>
      <rPr>
        <sz val="10"/>
        <rFont val="Consolas"/>
        <family val="3"/>
      </rPr>
      <t xml:space="preserve"> bet_semaine &lt; 16 </t>
    </r>
    <r>
      <rPr>
        <b/>
        <sz val="10"/>
        <rFont val="Consolas"/>
        <family val="3"/>
      </rPr>
      <t>or</t>
    </r>
    <r>
      <rPr>
        <sz val="10"/>
        <rFont val="Consolas"/>
        <family val="3"/>
      </rPr>
      <t xml:space="preserve"> bet_semaine &gt; 49);</t>
    </r>
  </si>
  <si>
    <r>
      <t xml:space="preserve">FROM correction_betail.t_correction </t>
    </r>
    <r>
      <rPr>
        <b/>
        <sz val="10"/>
        <rFont val="Consolas"/>
        <family val="3"/>
      </rPr>
      <t>where</t>
    </r>
    <r>
      <rPr>
        <sz val="10"/>
        <rFont val="Consolas"/>
        <family val="3"/>
      </rPr>
      <t xml:space="preserve"> bet_annee = 2013 </t>
    </r>
    <r>
      <rPr>
        <b/>
        <sz val="10"/>
        <rFont val="Consolas"/>
        <family val="3"/>
      </rPr>
      <t>and</t>
    </r>
  </si>
  <si>
    <r>
      <t xml:space="preserve">(bet_semaine = 36 </t>
    </r>
    <r>
      <rPr>
        <b/>
        <sz val="10"/>
        <rFont val="Consolas"/>
        <family val="3"/>
      </rPr>
      <t>or</t>
    </r>
    <r>
      <rPr>
        <sz val="10"/>
        <rFont val="Consolas"/>
        <family val="3"/>
      </rPr>
      <t xml:space="preserve"> bet_semaine = 39 </t>
    </r>
    <r>
      <rPr>
        <b/>
        <sz val="10"/>
        <rFont val="Consolas"/>
        <family val="3"/>
      </rPr>
      <t>or</t>
    </r>
    <r>
      <rPr>
        <sz val="10"/>
        <rFont val="Consolas"/>
        <family val="3"/>
      </rPr>
      <t xml:space="preserve"> bet_semaine &lt; 17 </t>
    </r>
    <r>
      <rPr>
        <b/>
        <sz val="10"/>
        <rFont val="Consolas"/>
        <family val="3"/>
      </rPr>
      <t>or</t>
    </r>
    <r>
      <rPr>
        <sz val="10"/>
        <rFont val="Consolas"/>
        <family val="3"/>
      </rPr>
      <t xml:space="preserve"> bet_semaine &gt; 45);</t>
    </r>
  </si>
  <si>
    <r>
      <t xml:space="preserve">FROM correction_betail.t_correction </t>
    </r>
    <r>
      <rPr>
        <b/>
        <sz val="10"/>
        <rFont val="Consolas"/>
        <family val="3"/>
      </rPr>
      <t>where</t>
    </r>
    <r>
      <rPr>
        <sz val="10"/>
        <rFont val="Consolas"/>
        <family val="3"/>
      </rPr>
      <t xml:space="preserve"> bet_annee = 2021 </t>
    </r>
    <r>
      <rPr>
        <b/>
        <sz val="10"/>
        <rFont val="Consolas"/>
        <family val="3"/>
      </rPr>
      <t>and</t>
    </r>
  </si>
  <si>
    <r>
      <t xml:space="preserve">FROM correction_betail.t_correction </t>
    </r>
    <r>
      <rPr>
        <b/>
        <sz val="10"/>
        <rFont val="Consolas"/>
        <family val="3"/>
      </rPr>
      <t>where</t>
    </r>
    <r>
      <rPr>
        <sz val="10"/>
        <rFont val="Consolas"/>
        <family val="3"/>
      </rPr>
      <t xml:space="preserve"> bet_annee = 2025 </t>
    </r>
    <r>
      <rPr>
        <b/>
        <sz val="10"/>
        <rFont val="Consolas"/>
        <family val="3"/>
      </rPr>
      <t>and</t>
    </r>
  </si>
  <si>
    <t>BEGIN;</t>
  </si>
  <si>
    <t>-- ============================================================</t>
  </si>
  <si>
    <t>-- 1. On remet à NULL les emprises existantes</t>
  </si>
  <si>
    <t>SET bet_metadata_geom = NULL</t>
  </si>
  <si>
    <t>WHERE bet_annee IN ('2010', '2011', '2012', '2013', '2021');</t>
  </si>
  <si>
    <t>-- 2. Attribution des emprises</t>
  </si>
  <si>
    <t>UPDATE correction_betail.t_correction AS c</t>
  </si>
  <si>
    <t>SET</t>
  </si>
  <si>
    <t xml:space="preserve">    bet_metadata_geom = z.geom,</t>
  </si>
  <si>
    <t xml:space="preserve">    bet_metadata = 'https://github.com/yannickkk/Applicatifs_VCG/tree/main/App_betail/corrections_Ugo_2026/script_decoup_sur_emprises'</t>
  </si>
  <si>
    <t>FROM correction_betail.zone_releve_bet_2010 AS z</t>
  </si>
  <si>
    <t>WHERE c.bet_annee = '2010'</t>
  </si>
  <si>
    <t xml:space="preserve">  AND ST_Intersects(c.bet_geom, z.geom);</t>
  </si>
  <si>
    <t>FROM correction_betail.zone_releves_bet_2011 AS z</t>
  </si>
  <si>
    <t>WHERE c.bet_annee = '2011'</t>
  </si>
  <si>
    <t>FROM correction_betail.zone_releves_bet_2012 AS z</t>
  </si>
  <si>
    <t>WHERE c.bet_annee = '2012'</t>
  </si>
  <si>
    <t>FROM correction_betail.zone_releves_bet_2013 AS z</t>
  </si>
  <si>
    <t>WHERE c.bet_annee = '2013'</t>
  </si>
  <si>
    <t>FROM correction_betail.zone_releves_bet_2021 AS z</t>
  </si>
  <si>
    <t>WHERE c.bet_annee = '2021'</t>
  </si>
  <si>
    <t>-- 3. Suppression des corrections sans emprise</t>
  </si>
  <si>
    <t>DELETE FROM correction_betail.t_correction</t>
  </si>
  <si>
    <t>WHERE bet_annee IN ('2010', '2011', '2012', '2013', '2021')</t>
  </si>
  <si>
    <t xml:space="preserve">  AND bet_metadata_geom IS NULL;</t>
  </si>
  <si>
    <t>-- 4. Validation</t>
  </si>
  <si>
    <t>COMMIT;</t>
  </si>
  <si>
    <r>
      <t xml:space="preserve">(bet_semaine = 21 or bet_semaine = 40 </t>
    </r>
    <r>
      <rPr>
        <b/>
        <sz val="10"/>
        <rFont val="Consolas"/>
        <family val="3"/>
      </rPr>
      <t>or</t>
    </r>
    <r>
      <rPr>
        <sz val="10"/>
        <rFont val="Consolas"/>
        <family val="3"/>
      </rPr>
      <t xml:space="preserve"> bet_semaine &lt; 14 </t>
    </r>
    <r>
      <rPr>
        <b/>
        <sz val="10"/>
        <rFont val="Consolas"/>
        <family val="3"/>
      </rPr>
      <t>or</t>
    </r>
    <r>
      <rPr>
        <sz val="10"/>
        <rFont val="Consolas"/>
        <family val="3"/>
      </rPr>
      <t xml:space="preserve"> bet_semaine &gt; 48);</t>
    </r>
  </si>
  <si>
    <r>
      <t xml:space="preserve">(bet_semaine </t>
    </r>
    <r>
      <rPr>
        <b/>
        <sz val="10"/>
        <rFont val="Consolas"/>
        <family val="3"/>
      </rPr>
      <t>in</t>
    </r>
    <r>
      <rPr>
        <sz val="10"/>
        <rFont val="Consolas"/>
        <family val="3"/>
      </rPr>
      <t xml:space="preserve"> (39,40,41,42,43,44) </t>
    </r>
    <r>
      <rPr>
        <b/>
        <sz val="10"/>
        <rFont val="Consolas"/>
        <family val="3"/>
      </rPr>
      <t>or</t>
    </r>
    <r>
      <rPr>
        <sz val="10"/>
        <rFont val="Consolas"/>
        <family val="3"/>
      </rPr>
      <t xml:space="preserve"> bet_semaine &lt; 25 </t>
    </r>
    <r>
      <rPr>
        <b/>
        <sz val="10"/>
        <rFont val="Consolas"/>
        <family val="3"/>
      </rPr>
      <t>or</t>
    </r>
    <r>
      <rPr>
        <sz val="10"/>
        <rFont val="Consolas"/>
        <family val="3"/>
      </rPr>
      <t xml:space="preserve"> bet_semaine &gt; 48);</t>
    </r>
  </si>
  <si>
    <r>
      <t xml:space="preserve">(bet_semaine in (16,37,40,45,47)  </t>
    </r>
    <r>
      <rPr>
        <b/>
        <sz val="10"/>
        <rFont val="Consolas"/>
        <family val="3"/>
      </rPr>
      <t>or</t>
    </r>
    <r>
      <rPr>
        <sz val="10"/>
        <rFont val="Consolas"/>
        <family val="3"/>
      </rPr>
      <t xml:space="preserve"> bet_semaine &lt; 14 </t>
    </r>
    <r>
      <rPr>
        <b/>
        <sz val="10"/>
        <rFont val="Consolas"/>
        <family val="3"/>
      </rPr>
      <t>or</t>
    </r>
    <r>
      <rPr>
        <sz val="10"/>
        <rFont val="Consolas"/>
        <family val="3"/>
      </rPr>
      <t xml:space="preserve"> bet_semaine &gt; 48);</t>
    </r>
  </si>
  <si>
    <t>UPDATE correction_betail.t_correction
SET    bet_recno_origin = NULL;</t>
  </si>
  <si>
    <t>WITH grp AS (</t>
  </si>
  <si>
    <t>--------------------------------------------------------------</t>
  </si>
  <si>
    <t>-- On recherche, pour chaque enregistrement (c1), le plus petit</t>
  </si>
  <si>
    <t>-- bet_id parmi les enregistrements (c2) qui ont :</t>
  </si>
  <si>
    <t>-- • la même année (bet_annee)</t>
  </si>
  <si>
    <t>-- • une géométrie exactement égale (ST_Equals)</t>
  </si>
  <si>
    <t>SELECT</t>
  </si>
  <si>
    <t>c1.bet_id,</t>
  </si>
  <si>
    <t>(</t>
  </si>
  <si>
    <t>SELECT MIN(c2.bet_id)</t>
  </si>
  <si>
    <t>FROM correction_betail.t_correction c2</t>
  </si>
  <si>
    <t>WHERE c2.bet_annee = c1.bet_annee</t>
  </si>
  <si>
    <t>AND ST_Equals(c2.bet_geom, c1.bet_geom)</t>
  </si>
  <si>
    <t>) AS new_origin -- valeur à mettre dans bet_recno_origin</t>
  </si>
  <si>
    <t>FROM correction_betail.t_correction c1</t>
  </si>
  <si>
    <t>)</t>
  </si>
  <si>
    <t>-- Mise à jour effective</t>
  </si>
  <si>
    <t>UPDATE correction_betail.t_correction AS tgt</t>
  </si>
  <si>
    <t>SET bet_recno_origin = grp.new_origin</t>
  </si>
  <si>
    <t>FROM grp</t>
  </si>
  <si>
    <t>WHERE tgt.bet_id = grp.bet_id;</t>
  </si>
  <si>
    <t>-- Mise à jour du champ avec un identifiant commun par groupe (année + géométrie)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</si>
</sst>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color rgb="FFCCCCCC"/>
      <name val="Consolas"/>
      <family val="3"/>
    </font>
    <font>
      <b/>
      <sz val="10"/>
      <color rgb="FF739ECA"/>
      <name val="Consolas"/>
      <family val="3"/>
    </font>
    <font>
      <sz val="10"/>
      <color rgb="FF00B8B8"/>
      <name val="Consolas"/>
      <family val="3"/>
    </font>
    <font>
      <sz val="10"/>
      <color rgb="FFCC9B75"/>
      <name val="Consolas"/>
      <family val="3"/>
    </font>
    <font>
      <sz val="10"/>
      <color rgb="FFB788D3"/>
      <name val="Consolas"/>
      <family val="3"/>
    </font>
    <font>
      <sz val="10"/>
      <color rgb="FFEECC64"/>
      <name val="Consolas"/>
      <family val="3"/>
    </font>
    <font>
      <sz val="10"/>
      <color theme="1"/>
      <name val="Arial Unicode MS"/>
    </font>
    <font>
      <b/>
      <sz val="11"/>
      <color theme="1"/>
      <name val="Arial"/>
      <family val="2"/>
    </font>
    <font>
      <b/>
      <sz val="10"/>
      <color theme="1"/>
      <name val="Arial Unicode MS"/>
    </font>
    <font>
      <sz val="11"/>
      <color theme="1"/>
      <name val="Arial"/>
      <family val="2"/>
    </font>
    <font>
      <b/>
      <sz val="10"/>
      <name val="Consolas"/>
      <family val="3"/>
    </font>
    <font>
      <sz val="11"/>
      <name val="Calibri"/>
      <family val="2"/>
      <scheme val="minor"/>
    </font>
    <font>
      <sz val="1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E8ED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6495ED"/>
      </left>
      <right style="medium">
        <color rgb="FF6495ED"/>
      </right>
      <top style="medium">
        <color rgb="FF6495ED"/>
      </top>
      <bottom/>
      <diagonal/>
    </border>
    <border>
      <left style="medium">
        <color rgb="FF6495ED"/>
      </left>
      <right style="medium">
        <color rgb="FF6495ED"/>
      </right>
      <top/>
      <bottom/>
      <diagonal/>
    </border>
    <border>
      <left style="medium">
        <color rgb="FF6495ED"/>
      </left>
      <right style="medium">
        <color rgb="FF6495ED"/>
      </right>
      <top/>
      <bottom style="thin">
        <color rgb="FF6495ED"/>
      </bottom>
      <diagonal/>
    </border>
    <border>
      <left style="medium">
        <color rgb="FF6495ED"/>
      </left>
      <right style="medium">
        <color rgb="FF6495ED"/>
      </right>
      <top style="thin">
        <color rgb="FF6495ED"/>
      </top>
      <bottom style="thin">
        <color rgb="FF6495ED"/>
      </bottom>
      <diagonal/>
    </border>
    <border>
      <left style="medium">
        <color rgb="FF6495ED"/>
      </left>
      <right style="medium">
        <color rgb="FF6495ED"/>
      </right>
      <top style="thin">
        <color rgb="FF6495ED"/>
      </top>
      <bottom style="medium">
        <color rgb="FF6495E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0" fillId="3" borderId="0" xfId="0" applyFill="1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125730</xdr:rowOff>
    </xdr:to>
    <xdr:sp macro="" textlink="">
      <xdr:nvSpPr>
        <xdr:cNvPr id="1026" name="AutoShape 2" descr="blob:https://web.whatsapp.com/b7bad22a-60c8-42ca-9a25-ae7a718f89bb">
          <a:extLst>
            <a:ext uri="{FF2B5EF4-FFF2-40B4-BE49-F238E27FC236}">
              <a16:creationId xmlns:a16="http://schemas.microsoft.com/office/drawing/2014/main" id="{0070C445-6F21-45D4-AD98-8B9FB9D714F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1027" name="AutoShape 3" descr="blob:https://web.whatsapp.com/b7bad22a-60c8-42ca-9a25-ae7a718f89bb">
          <a:extLst>
            <a:ext uri="{FF2B5EF4-FFF2-40B4-BE49-F238E27FC236}">
              <a16:creationId xmlns:a16="http://schemas.microsoft.com/office/drawing/2014/main" id="{2591D460-D2A5-4ECA-83D4-75A9DD9DF5C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433342</xdr:colOff>
      <xdr:row>55</xdr:row>
      <xdr:rowOff>104775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85C28F6-7A9C-49A4-9853-52AF46BA3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8517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19</xdr:col>
      <xdr:colOff>433342</xdr:colOff>
      <xdr:row>55</xdr:row>
      <xdr:rowOff>104775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4B47E14A-2111-4A0F-B4EA-34506C40D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0" y="0"/>
          <a:ext cx="7548517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9E7D0-9716-4156-AC01-AF736F479892}">
  <dimension ref="A1"/>
  <sheetViews>
    <sheetView workbookViewId="0">
      <selection activeCell="K1" sqref="K1"/>
    </sheetView>
  </sheetViews>
  <sheetFormatPr baseColWidth="10"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CB60-B36C-473D-90DA-5CD19F178A0B}">
  <dimension ref="A1:A25"/>
  <sheetViews>
    <sheetView tabSelected="1" workbookViewId="0">
      <selection activeCell="G12" sqref="G12"/>
    </sheetView>
  </sheetViews>
  <sheetFormatPr baseColWidth="10" defaultRowHeight="14.4"/>
  <sheetData>
    <row r="1" spans="1:1" ht="100.8">
      <c r="A1" s="15" t="s">
        <v>93</v>
      </c>
    </row>
    <row r="2" spans="1:1">
      <c r="A2" s="16" t="s">
        <v>115</v>
      </c>
    </row>
    <row r="3" spans="1:1">
      <c r="A3" t="s">
        <v>94</v>
      </c>
    </row>
    <row r="4" spans="1:1">
      <c r="A4" t="s">
        <v>95</v>
      </c>
    </row>
    <row r="5" spans="1:1">
      <c r="A5" t="s">
        <v>96</v>
      </c>
    </row>
    <row r="6" spans="1:1">
      <c r="A6" t="s">
        <v>97</v>
      </c>
    </row>
    <row r="7" spans="1:1">
      <c r="A7" t="s">
        <v>98</v>
      </c>
    </row>
    <row r="8" spans="1:1">
      <c r="A8" t="s">
        <v>99</v>
      </c>
    </row>
    <row r="9" spans="1:1">
      <c r="A9" t="s">
        <v>95</v>
      </c>
    </row>
    <row r="10" spans="1:1">
      <c r="A10" t="s">
        <v>100</v>
      </c>
    </row>
    <row r="11" spans="1:1">
      <c r="A11" t="s">
        <v>101</v>
      </c>
    </row>
    <row r="12" spans="1:1">
      <c r="A12" t="s">
        <v>102</v>
      </c>
    </row>
    <row r="13" spans="1:1">
      <c r="A13" t="s">
        <v>103</v>
      </c>
    </row>
    <row r="14" spans="1:1">
      <c r="A14" t="s">
        <v>104</v>
      </c>
    </row>
    <row r="15" spans="1:1">
      <c r="A15" t="s">
        <v>105</v>
      </c>
    </row>
    <row r="16" spans="1:1">
      <c r="A16" t="s">
        <v>106</v>
      </c>
    </row>
    <row r="17" spans="1:1">
      <c r="A17" t="s">
        <v>107</v>
      </c>
    </row>
    <row r="18" spans="1:1">
      <c r="A18" t="s">
        <v>108</v>
      </c>
    </row>
    <row r="19" spans="1:1">
      <c r="A19" t="s">
        <v>109</v>
      </c>
    </row>
    <row r="21" spans="1:1">
      <c r="A21" t="s">
        <v>110</v>
      </c>
    </row>
    <row r="22" spans="1:1">
      <c r="A22" t="s">
        <v>111</v>
      </c>
    </row>
    <row r="23" spans="1:1">
      <c r="A23" t="s">
        <v>112</v>
      </c>
    </row>
    <row r="24" spans="1:1">
      <c r="A24" t="s">
        <v>113</v>
      </c>
    </row>
    <row r="25" spans="1:1">
      <c r="A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A0CE2-2B44-4C1C-8BDB-5CCADC9AF3AB}">
  <dimension ref="A1:I18"/>
  <sheetViews>
    <sheetView workbookViewId="0">
      <selection activeCell="B22" sqref="B22"/>
    </sheetView>
  </sheetViews>
  <sheetFormatPr baseColWidth="10" defaultRowHeight="14.4"/>
  <sheetData>
    <row r="1" spans="1:9">
      <c r="A1" s="11" t="s">
        <v>22</v>
      </c>
      <c r="B1" s="12"/>
      <c r="C1" s="12"/>
      <c r="D1" s="12"/>
      <c r="E1" s="12"/>
      <c r="F1" s="12"/>
      <c r="G1" s="12"/>
      <c r="H1" s="12"/>
      <c r="I1" s="12"/>
    </row>
    <row r="2" spans="1:9">
      <c r="A2" s="13" t="s">
        <v>54</v>
      </c>
      <c r="B2" s="12"/>
      <c r="C2" s="12"/>
      <c r="D2" s="12"/>
      <c r="E2" s="12"/>
      <c r="F2" s="12"/>
      <c r="G2" s="12"/>
      <c r="H2" s="12"/>
      <c r="I2" s="12"/>
    </row>
    <row r="3" spans="1:9">
      <c r="A3" s="13" t="s">
        <v>55</v>
      </c>
      <c r="B3" s="12"/>
      <c r="C3" s="12"/>
      <c r="D3" s="12"/>
      <c r="E3" s="12"/>
      <c r="F3" s="12"/>
      <c r="G3" s="12"/>
      <c r="H3" s="12"/>
      <c r="I3" s="12"/>
    </row>
    <row r="4" spans="1:9">
      <c r="A4" s="11" t="s">
        <v>22</v>
      </c>
      <c r="B4" s="12"/>
      <c r="C4" s="12"/>
      <c r="D4" s="12"/>
      <c r="E4" s="12"/>
      <c r="F4" s="12"/>
      <c r="G4" s="12"/>
      <c r="H4" s="12"/>
      <c r="I4" s="12"/>
    </row>
    <row r="5" spans="1:9">
      <c r="A5" s="13" t="s">
        <v>56</v>
      </c>
      <c r="B5" s="12"/>
      <c r="C5" s="12"/>
      <c r="D5" s="12"/>
      <c r="E5" s="12"/>
      <c r="F5" s="12"/>
      <c r="G5" s="12"/>
      <c r="H5" s="12"/>
      <c r="I5" s="12"/>
    </row>
    <row r="6" spans="1:9">
      <c r="A6" s="13" t="s">
        <v>90</v>
      </c>
      <c r="B6" s="12"/>
      <c r="C6" s="12"/>
      <c r="D6" s="12"/>
      <c r="E6" s="12"/>
      <c r="F6" s="12"/>
      <c r="G6" s="12"/>
      <c r="H6" s="12"/>
      <c r="I6" s="12"/>
    </row>
    <row r="7" spans="1:9">
      <c r="A7" s="11" t="s">
        <v>22</v>
      </c>
      <c r="B7" s="12"/>
      <c r="C7" s="12"/>
      <c r="D7" s="12"/>
      <c r="E7" s="12"/>
      <c r="F7" s="12"/>
      <c r="G7" s="12"/>
      <c r="H7" s="12"/>
      <c r="I7" s="12"/>
    </row>
    <row r="8" spans="1:9">
      <c r="A8" s="13" t="s">
        <v>57</v>
      </c>
      <c r="B8" s="12"/>
      <c r="C8" s="12"/>
      <c r="D8" s="12"/>
      <c r="E8" s="12"/>
      <c r="F8" s="12"/>
      <c r="G8" s="12"/>
      <c r="H8" s="12"/>
      <c r="I8" s="12"/>
    </row>
    <row r="9" spans="1:9">
      <c r="A9" s="13" t="s">
        <v>58</v>
      </c>
      <c r="B9" s="12"/>
      <c r="C9" s="12"/>
      <c r="D9" s="12"/>
      <c r="E9" s="12"/>
      <c r="F9" s="12"/>
      <c r="G9" s="12"/>
      <c r="H9" s="12"/>
      <c r="I9" s="12"/>
    </row>
    <row r="10" spans="1:9">
      <c r="A10" s="11" t="s">
        <v>22</v>
      </c>
      <c r="B10" s="12"/>
      <c r="C10" s="12"/>
      <c r="D10" s="12"/>
      <c r="E10" s="12"/>
      <c r="F10" s="12"/>
      <c r="G10" s="12"/>
      <c r="H10" s="12"/>
      <c r="I10" s="12"/>
    </row>
    <row r="11" spans="1:9">
      <c r="A11" s="13" t="s">
        <v>59</v>
      </c>
      <c r="B11" s="12"/>
      <c r="C11" s="12"/>
      <c r="D11" s="12"/>
      <c r="E11" s="12"/>
      <c r="F11" s="12"/>
      <c r="G11" s="12"/>
      <c r="H11" s="12"/>
      <c r="I11" s="12"/>
    </row>
    <row r="12" spans="1:9">
      <c r="A12" s="13" t="s">
        <v>60</v>
      </c>
      <c r="B12" s="12"/>
      <c r="C12" s="12"/>
      <c r="D12" s="12"/>
      <c r="E12" s="12"/>
      <c r="F12" s="12"/>
      <c r="G12" s="12"/>
      <c r="H12" s="12"/>
      <c r="I12" s="12"/>
    </row>
    <row r="13" spans="1:9">
      <c r="A13" s="11" t="s">
        <v>22</v>
      </c>
      <c r="B13" s="12"/>
      <c r="C13" s="12"/>
      <c r="D13" s="12"/>
      <c r="E13" s="12"/>
      <c r="F13" s="12"/>
      <c r="G13" s="12"/>
      <c r="H13" s="12"/>
      <c r="I13" s="12"/>
    </row>
    <row r="14" spans="1:9">
      <c r="A14" s="13" t="s">
        <v>61</v>
      </c>
      <c r="B14" s="12"/>
      <c r="C14" s="12"/>
      <c r="D14" s="12"/>
      <c r="E14" s="12"/>
      <c r="F14" s="12"/>
      <c r="G14" s="12"/>
      <c r="H14" s="12"/>
      <c r="I14" s="12"/>
    </row>
    <row r="15" spans="1:9">
      <c r="A15" s="13" t="s">
        <v>91</v>
      </c>
      <c r="B15" s="12"/>
      <c r="C15" s="12"/>
      <c r="D15" s="12"/>
      <c r="E15" s="12"/>
      <c r="F15" s="12"/>
      <c r="G15" s="12"/>
      <c r="H15" s="12"/>
      <c r="I15" s="12"/>
    </row>
    <row r="16" spans="1:9">
      <c r="A16" s="11" t="s">
        <v>22</v>
      </c>
      <c r="B16" s="12"/>
      <c r="C16" s="12"/>
      <c r="D16" s="12"/>
      <c r="E16" s="12"/>
      <c r="F16" s="12"/>
      <c r="G16" s="12"/>
      <c r="H16" s="12"/>
      <c r="I16" s="12"/>
    </row>
    <row r="17" spans="1:9">
      <c r="A17" s="13" t="s">
        <v>62</v>
      </c>
      <c r="B17" s="12"/>
      <c r="C17" s="12"/>
      <c r="D17" s="12"/>
      <c r="E17" s="12"/>
      <c r="F17" s="12"/>
      <c r="G17" s="12"/>
      <c r="H17" s="12"/>
      <c r="I17" s="12"/>
    </row>
    <row r="18" spans="1:9">
      <c r="A18" s="13" t="s">
        <v>92</v>
      </c>
      <c r="B18" s="12"/>
      <c r="C18" s="12"/>
      <c r="D18" s="12"/>
      <c r="E18" s="12"/>
      <c r="F18" s="12"/>
      <c r="G18" s="12"/>
      <c r="H18" s="12"/>
      <c r="I18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A71B-0DC4-4BA4-984D-DEAD7F4E22E2}">
  <dimension ref="A1:C33"/>
  <sheetViews>
    <sheetView topLeftCell="A4" workbookViewId="0">
      <selection activeCell="C30" sqref="C30"/>
    </sheetView>
  </sheetViews>
  <sheetFormatPr baseColWidth="10" defaultRowHeight="14.4"/>
  <cols>
    <col min="1" max="1" width="17.88671875" bestFit="1" customWidth="1"/>
    <col min="2" max="2" width="16.5546875" bestFit="1" customWidth="1"/>
    <col min="3" max="3" width="12.77734375" bestFit="1" customWidth="1"/>
  </cols>
  <sheetData>
    <row r="1" spans="1:3">
      <c r="A1" s="1" t="s">
        <v>20</v>
      </c>
    </row>
    <row r="2" spans="1:3">
      <c r="A2" t="s">
        <v>21</v>
      </c>
      <c r="B2" t="s">
        <v>18</v>
      </c>
      <c r="C2" t="s">
        <v>19</v>
      </c>
    </row>
    <row r="3" spans="1:3">
      <c r="A3">
        <v>0</v>
      </c>
      <c r="B3" t="s">
        <v>17</v>
      </c>
    </row>
    <row r="4" spans="1:3">
      <c r="A4" t="s">
        <v>0</v>
      </c>
      <c r="B4" t="s">
        <v>17</v>
      </c>
    </row>
    <row r="5" spans="1:3">
      <c r="A5" t="s">
        <v>1</v>
      </c>
      <c r="B5" t="s">
        <v>17</v>
      </c>
    </row>
    <row r="6" spans="1:3">
      <c r="A6" t="s">
        <v>2</v>
      </c>
      <c r="B6" t="s">
        <v>17</v>
      </c>
    </row>
    <row r="7" spans="1:3">
      <c r="A7" t="s">
        <v>3</v>
      </c>
      <c r="B7" t="s">
        <v>17</v>
      </c>
    </row>
    <row r="8" spans="1:3">
      <c r="A8" s="14" t="s">
        <v>4</v>
      </c>
      <c r="B8" t="s">
        <v>17</v>
      </c>
    </row>
    <row r="9" spans="1:3">
      <c r="A9" t="s">
        <v>5</v>
      </c>
      <c r="C9" t="s">
        <v>6</v>
      </c>
    </row>
    <row r="10" spans="1:3">
      <c r="A10" t="s">
        <v>6</v>
      </c>
      <c r="B10" t="s">
        <v>17</v>
      </c>
    </row>
    <row r="11" spans="1:3">
      <c r="A11" t="s">
        <v>7</v>
      </c>
      <c r="C11" t="s">
        <v>8</v>
      </c>
    </row>
    <row r="12" spans="1:3">
      <c r="A12" t="s">
        <v>8</v>
      </c>
      <c r="B12" t="s">
        <v>17</v>
      </c>
    </row>
    <row r="13" spans="1:3">
      <c r="A13">
        <v>28</v>
      </c>
      <c r="C13" t="s">
        <v>8</v>
      </c>
    </row>
    <row r="14" spans="1:3">
      <c r="A14" t="s">
        <v>9</v>
      </c>
      <c r="C14" t="s">
        <v>8</v>
      </c>
    </row>
    <row r="15" spans="1:3">
      <c r="A15" t="s">
        <v>10</v>
      </c>
      <c r="C15" t="s">
        <v>8</v>
      </c>
    </row>
    <row r="16" spans="1:3">
      <c r="A16" t="s">
        <v>11</v>
      </c>
      <c r="C16" t="s">
        <v>8</v>
      </c>
    </row>
    <row r="17" spans="1:3">
      <c r="A17" t="s">
        <v>12</v>
      </c>
      <c r="C17" t="s">
        <v>8</v>
      </c>
    </row>
    <row r="18" spans="1:3">
      <c r="A18" t="s">
        <v>13</v>
      </c>
      <c r="B18" t="s">
        <v>17</v>
      </c>
    </row>
    <row r="19" spans="1:3">
      <c r="A19" t="s">
        <v>14</v>
      </c>
      <c r="B19" t="s">
        <v>17</v>
      </c>
    </row>
    <row r="20" spans="1:3">
      <c r="A20" t="s">
        <v>15</v>
      </c>
      <c r="B20" t="s">
        <v>17</v>
      </c>
    </row>
    <row r="21" spans="1:3">
      <c r="A21" t="s">
        <v>16</v>
      </c>
      <c r="C21" t="s">
        <v>15</v>
      </c>
    </row>
    <row r="23" spans="1:3">
      <c r="A23" s="3" t="s">
        <v>23</v>
      </c>
    </row>
    <row r="24" spans="1:3">
      <c r="A24" s="3" t="s">
        <v>24</v>
      </c>
    </row>
    <row r="25" spans="1:3">
      <c r="A25" s="3" t="s">
        <v>25</v>
      </c>
    </row>
    <row r="26" spans="1:3">
      <c r="A26" s="2"/>
    </row>
    <row r="27" spans="1:3">
      <c r="A27" s="3" t="s">
        <v>23</v>
      </c>
    </row>
    <row r="28" spans="1:3">
      <c r="A28" s="3" t="s">
        <v>26</v>
      </c>
    </row>
    <row r="29" spans="1:3">
      <c r="A29" s="3" t="s">
        <v>27</v>
      </c>
    </row>
    <row r="30" spans="1:3">
      <c r="A30" s="2"/>
    </row>
    <row r="31" spans="1:3">
      <c r="A31" s="3" t="s">
        <v>23</v>
      </c>
    </row>
    <row r="32" spans="1:3">
      <c r="A32" s="3" t="s">
        <v>28</v>
      </c>
    </row>
    <row r="33" spans="1:1">
      <c r="A33" s="3" t="s">
        <v>29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C6E0-A2E6-4079-9F83-2869DA5F18D8}">
  <dimension ref="A1:A26"/>
  <sheetViews>
    <sheetView workbookViewId="0">
      <selection activeCell="F12" sqref="F12"/>
    </sheetView>
  </sheetViews>
  <sheetFormatPr baseColWidth="10" defaultRowHeight="14.4"/>
  <cols>
    <col min="1" max="1" width="37.21875" customWidth="1"/>
  </cols>
  <sheetData>
    <row r="1" spans="1:1">
      <c r="A1" s="4" t="s">
        <v>30</v>
      </c>
    </row>
    <row r="2" spans="1:1">
      <c r="A2" s="5" t="s">
        <v>31</v>
      </c>
    </row>
    <row r="3" spans="1:1">
      <c r="A3" s="6"/>
    </row>
    <row r="4" spans="1:1">
      <c r="A4" s="7" t="s">
        <v>32</v>
      </c>
    </row>
    <row r="5" spans="1:1">
      <c r="A5" s="8" t="s">
        <v>33</v>
      </c>
    </row>
    <row r="6" spans="1:1">
      <c r="A6" s="9" t="s">
        <v>34</v>
      </c>
    </row>
    <row r="7" spans="1:1">
      <c r="A7" s="8" t="s">
        <v>35</v>
      </c>
    </row>
    <row r="8" spans="1:1">
      <c r="A8" s="9" t="s">
        <v>36</v>
      </c>
    </row>
    <row r="9" spans="1:1">
      <c r="A9" s="8" t="s">
        <v>37</v>
      </c>
    </row>
    <row r="10" spans="1:1">
      <c r="A10" s="9" t="s">
        <v>38</v>
      </c>
    </row>
    <row r="11" spans="1:1">
      <c r="A11" s="8" t="s">
        <v>39</v>
      </c>
    </row>
    <row r="12" spans="1:1">
      <c r="A12" s="9" t="s">
        <v>40</v>
      </c>
    </row>
    <row r="13" spans="1:1">
      <c r="A13" s="8" t="s">
        <v>41</v>
      </c>
    </row>
    <row r="14" spans="1:1">
      <c r="A14" s="9" t="s">
        <v>42</v>
      </c>
    </row>
    <row r="15" spans="1:1">
      <c r="A15" s="8" t="s">
        <v>43</v>
      </c>
    </row>
    <row r="16" spans="1:1">
      <c r="A16" s="9" t="s">
        <v>44</v>
      </c>
    </row>
    <row r="17" spans="1:1">
      <c r="A17" s="8" t="s">
        <v>45</v>
      </c>
    </row>
    <row r="18" spans="1:1">
      <c r="A18" s="9" t="s">
        <v>46</v>
      </c>
    </row>
    <row r="19" spans="1:1">
      <c r="A19" s="8" t="s">
        <v>47</v>
      </c>
    </row>
    <row r="20" spans="1:1">
      <c r="A20" s="9" t="s">
        <v>48</v>
      </c>
    </row>
    <row r="21" spans="1:1">
      <c r="A21" s="8" t="s">
        <v>49</v>
      </c>
    </row>
    <row r="22" spans="1:1">
      <c r="A22" s="9" t="s">
        <v>50</v>
      </c>
    </row>
    <row r="23" spans="1:1">
      <c r="A23" s="8" t="s">
        <v>51</v>
      </c>
    </row>
    <row r="24" spans="1:1">
      <c r="A24" s="9" t="s">
        <v>52</v>
      </c>
    </row>
    <row r="25" spans="1:1">
      <c r="A25" s="8" t="s">
        <v>53</v>
      </c>
    </row>
    <row r="26" spans="1:1" ht="15" thickBot="1">
      <c r="A26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BA885-7CD8-41E7-92F5-9AB7686BA73B}">
  <dimension ref="A2:A80"/>
  <sheetViews>
    <sheetView topLeftCell="A25" workbookViewId="0">
      <selection activeCell="C85" sqref="C85"/>
    </sheetView>
  </sheetViews>
  <sheetFormatPr baseColWidth="10" defaultRowHeight="14.4"/>
  <sheetData>
    <row r="2" spans="1:1">
      <c r="A2" t="s">
        <v>63</v>
      </c>
    </row>
    <row r="4" spans="1:1">
      <c r="A4" t="s">
        <v>64</v>
      </c>
    </row>
    <row r="5" spans="1:1">
      <c r="A5" t="s">
        <v>65</v>
      </c>
    </row>
    <row r="6" spans="1:1">
      <c r="A6" t="s">
        <v>64</v>
      </c>
    </row>
    <row r="8" spans="1:1">
      <c r="A8" t="s">
        <v>23</v>
      </c>
    </row>
    <row r="9" spans="1:1">
      <c r="A9" t="s">
        <v>66</v>
      </c>
    </row>
    <row r="10" spans="1:1">
      <c r="A10" t="s">
        <v>67</v>
      </c>
    </row>
    <row r="13" spans="1:1">
      <c r="A13" t="s">
        <v>64</v>
      </c>
    </row>
    <row r="14" spans="1:1">
      <c r="A14" t="s">
        <v>68</v>
      </c>
    </row>
    <row r="15" spans="1:1">
      <c r="A15" t="s">
        <v>64</v>
      </c>
    </row>
    <row r="17" spans="1:1">
      <c r="A17">
        <f>-- 2010</f>
        <v>2010</v>
      </c>
    </row>
    <row r="18" spans="1:1">
      <c r="A18" t="s">
        <v>69</v>
      </c>
    </row>
    <row r="19" spans="1:1">
      <c r="A19" t="s">
        <v>70</v>
      </c>
    </row>
    <row r="20" spans="1:1">
      <c r="A20" t="s">
        <v>71</v>
      </c>
    </row>
    <row r="21" spans="1:1">
      <c r="A21" t="s">
        <v>72</v>
      </c>
    </row>
    <row r="22" spans="1:1">
      <c r="A22" t="s">
        <v>73</v>
      </c>
    </row>
    <row r="23" spans="1:1">
      <c r="A23" t="s">
        <v>74</v>
      </c>
    </row>
    <row r="24" spans="1:1">
      <c r="A24" t="s">
        <v>75</v>
      </c>
    </row>
    <row r="27" spans="1:1">
      <c r="A27">
        <f>-- 2011</f>
        <v>2011</v>
      </c>
    </row>
    <row r="28" spans="1:1">
      <c r="A28" t="s">
        <v>69</v>
      </c>
    </row>
    <row r="29" spans="1:1">
      <c r="A29" t="s">
        <v>70</v>
      </c>
    </row>
    <row r="30" spans="1:1">
      <c r="A30" t="s">
        <v>71</v>
      </c>
    </row>
    <row r="31" spans="1:1">
      <c r="A31" t="s">
        <v>72</v>
      </c>
    </row>
    <row r="32" spans="1:1">
      <c r="A32" t="s">
        <v>76</v>
      </c>
    </row>
    <row r="33" spans="1:1">
      <c r="A33" t="s">
        <v>77</v>
      </c>
    </row>
    <row r="34" spans="1:1">
      <c r="A34" t="s">
        <v>75</v>
      </c>
    </row>
    <row r="37" spans="1:1">
      <c r="A37">
        <f>-- 2012</f>
        <v>2012</v>
      </c>
    </row>
    <row r="38" spans="1:1">
      <c r="A38" t="s">
        <v>69</v>
      </c>
    </row>
    <row r="39" spans="1:1">
      <c r="A39" t="s">
        <v>70</v>
      </c>
    </row>
    <row r="40" spans="1:1">
      <c r="A40" t="s">
        <v>71</v>
      </c>
    </row>
    <row r="41" spans="1:1">
      <c r="A41" t="s">
        <v>72</v>
      </c>
    </row>
    <row r="42" spans="1:1">
      <c r="A42" t="s">
        <v>78</v>
      </c>
    </row>
    <row r="43" spans="1:1">
      <c r="A43" t="s">
        <v>79</v>
      </c>
    </row>
    <row r="44" spans="1:1">
      <c r="A44" t="s">
        <v>75</v>
      </c>
    </row>
    <row r="47" spans="1:1">
      <c r="A47">
        <f>-- 2013</f>
        <v>2013</v>
      </c>
    </row>
    <row r="48" spans="1:1">
      <c r="A48" t="s">
        <v>69</v>
      </c>
    </row>
    <row r="49" spans="1:1">
      <c r="A49" t="s">
        <v>70</v>
      </c>
    </row>
    <row r="50" spans="1:1">
      <c r="A50" t="s">
        <v>71</v>
      </c>
    </row>
    <row r="51" spans="1:1">
      <c r="A51" t="s">
        <v>72</v>
      </c>
    </row>
    <row r="52" spans="1:1">
      <c r="A52" t="s">
        <v>80</v>
      </c>
    </row>
    <row r="53" spans="1:1">
      <c r="A53" t="s">
        <v>81</v>
      </c>
    </row>
    <row r="54" spans="1:1">
      <c r="A54" t="s">
        <v>75</v>
      </c>
    </row>
    <row r="57" spans="1:1">
      <c r="A57">
        <f>-- 2021</f>
        <v>2021</v>
      </c>
    </row>
    <row r="58" spans="1:1">
      <c r="A58" t="s">
        <v>69</v>
      </c>
    </row>
    <row r="59" spans="1:1">
      <c r="A59" t="s">
        <v>70</v>
      </c>
    </row>
    <row r="60" spans="1:1">
      <c r="A60" t="s">
        <v>71</v>
      </c>
    </row>
    <row r="61" spans="1:1">
      <c r="A61" t="s">
        <v>72</v>
      </c>
    </row>
    <row r="62" spans="1:1">
      <c r="A62" t="s">
        <v>82</v>
      </c>
    </row>
    <row r="63" spans="1:1">
      <c r="A63" t="s">
        <v>83</v>
      </c>
    </row>
    <row r="64" spans="1:1">
      <c r="A64" t="s">
        <v>75</v>
      </c>
    </row>
    <row r="67" spans="1:1">
      <c r="A67" t="s">
        <v>64</v>
      </c>
    </row>
    <row r="68" spans="1:1">
      <c r="A68" t="s">
        <v>84</v>
      </c>
    </row>
    <row r="69" spans="1:1">
      <c r="A69" t="s">
        <v>64</v>
      </c>
    </row>
    <row r="71" spans="1:1">
      <c r="A71" t="s">
        <v>85</v>
      </c>
    </row>
    <row r="72" spans="1:1">
      <c r="A72" t="s">
        <v>86</v>
      </c>
    </row>
    <row r="73" spans="1:1">
      <c r="A73" t="s">
        <v>87</v>
      </c>
    </row>
    <row r="76" spans="1:1">
      <c r="A76" t="s">
        <v>64</v>
      </c>
    </row>
    <row r="77" spans="1:1">
      <c r="A77" t="s">
        <v>88</v>
      </c>
    </row>
    <row r="78" spans="1:1">
      <c r="A78" t="s">
        <v>64</v>
      </c>
    </row>
    <row r="80" spans="1:1">
      <c r="A8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notes</vt:lpstr>
      <vt:lpstr>identifiant unique par geom-ann</vt:lpstr>
      <vt:lpstr>delete</vt:lpstr>
      <vt:lpstr>bet_charge</vt:lpstr>
      <vt:lpstr>espece</vt:lpstr>
      <vt:lpstr>delete_sur_emprises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Chaval</dc:creator>
  <cp:lastModifiedBy>Yannick Chaval</cp:lastModifiedBy>
  <dcterms:created xsi:type="dcterms:W3CDTF">2026-10-06T13:21:21Z</dcterms:created>
  <dcterms:modified xsi:type="dcterms:W3CDTF">2026-10-07T12:07:27Z</dcterms:modified>
</cp:coreProperties>
</file>